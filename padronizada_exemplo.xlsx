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DCNT\"/>
    </mc:Choice>
  </mc:AlternateContent>
  <xr:revisionPtr revIDLastSave="0" documentId="13_ncr:1_{89FC6A87-BA96-42B4-AD81-32A95E9DF59A}" xr6:coauthVersionLast="47" xr6:coauthVersionMax="47" xr10:uidLastSave="{00000000-0000-0000-0000-000000000000}"/>
  <bookViews>
    <workbookView xWindow="6615" yWindow="4185" windowWidth="14190" windowHeight="11295" xr2:uid="{EB4E9494-2BBB-4AF1-99D5-AF3B3692AFDD}"/>
  </bookViews>
  <sheets>
    <sheet name="Planilh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5" l="1"/>
  <c r="D20" i="5"/>
  <c r="B14" i="5"/>
  <c r="D28" i="5"/>
  <c r="D21" i="5"/>
  <c r="D22" i="5"/>
  <c r="D23" i="5"/>
  <c r="D24" i="5"/>
  <c r="D25" i="5"/>
  <c r="D26" i="5"/>
  <c r="D27" i="5"/>
  <c r="D14" i="5"/>
  <c r="E14" i="5"/>
  <c r="F14" i="5"/>
  <c r="G14" i="5"/>
  <c r="H14" i="5"/>
  <c r="I14" i="5"/>
  <c r="J14" i="5"/>
  <c r="C14" i="5"/>
  <c r="B28" i="5"/>
  <c r="J5" i="5"/>
  <c r="J8" i="5"/>
  <c r="J11" i="5"/>
</calcChain>
</file>

<file path=xl/sharedStrings.xml><?xml version="1.0" encoding="utf-8"?>
<sst xmlns="http://schemas.openxmlformats.org/spreadsheetml/2006/main" count="58" uniqueCount="31">
  <si>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</si>
  <si>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</si>
  <si>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</si>
  <si>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</si>
  <si>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</si>
  <si>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</si>
  <si>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</si>
  <si>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</si>
  <si>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Total</t>
  </si>
  <si>
    <t>TOTAL</t>
  </si>
  <si>
    <t>pop padrao</t>
  </si>
  <si>
    <t>Unidade da Federação</t>
  </si>
  <si>
    <t>35 São Paulo</t>
  </si>
  <si>
    <t>Ano do Óbito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</si>
  <si>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</si>
  <si>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</si>
  <si>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</si>
  <si>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</si>
  <si>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</si>
  <si>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</si>
  <si>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</si>
  <si>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</si>
  <si>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total</t>
  </si>
  <si>
    <t>Idade</t>
  </si>
  <si>
    <t>pop padrao (a)</t>
  </si>
  <si>
    <t>Obito esperado (SP) (ab/100000)</t>
  </si>
  <si>
    <t>taxa por idade</t>
  </si>
  <si>
    <t>Taxa por idade (b)</t>
  </si>
  <si>
    <t>AQUI ta por PESSOA (não multipliquei por escala)</t>
  </si>
  <si>
    <t>Taxa padronizada por idade</t>
  </si>
  <si>
    <t>soma dos Obitos Esperados / total da pop padrao * 100.000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</si>
</sst>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1179-A12B-4E98-891F-FB670667F435}">
  <dimension ref="A4:W28"/>
  <sheetViews>
    <sheetView tabSelected="1" workbookViewId="0">
      <selection activeCell="H22" sqref="H22"/>
    </sheetView>
  </sheetViews>
  <sheetFormatPr defaultRowHeight="15" x14ac:dyDescent="0.25"/>
  <cols>
    <col min="1" max="1" width="20.85546875" customWidth="1"/>
    <col min="2" max="2" width="14.42578125" customWidth="1"/>
    <col min="3" max="3" width="14" bestFit="1" customWidth="1"/>
    <col min="4" max="4" width="16.42578125" customWidth="1"/>
    <col min="5" max="5" width="10.140625" bestFit="1" customWidth="1"/>
    <col min="6" max="6" width="13.5703125" customWidth="1"/>
    <col min="7" max="8" width="10.140625" bestFit="1" customWidth="1"/>
    <col min="9" max="9" width="11.5703125" customWidth="1"/>
    <col min="10" max="10" width="11.140625" bestFit="1" customWidth="1"/>
    <col min="23" max="23" width="10.140625" bestFit="1" customWidth="1"/>
  </cols>
  <sheetData>
    <row r="4" spans="1:23" x14ac:dyDescent="0.25">
      <c r="A4" t="s">
        <v>13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22</v>
      </c>
    </row>
    <row r="5" spans="1:23" x14ac:dyDescent="0.25">
      <c r="A5" t="s">
        <v>9</v>
      </c>
      <c r="B5">
        <v>582</v>
      </c>
      <c r="C5" s="1">
        <v>1044</v>
      </c>
      <c r="D5" s="1">
        <v>1706</v>
      </c>
      <c r="E5" s="1">
        <v>2447</v>
      </c>
      <c r="F5" s="1">
        <v>3577</v>
      </c>
      <c r="G5" s="1">
        <v>5377</v>
      </c>
      <c r="H5" s="1">
        <v>7516</v>
      </c>
      <c r="I5" s="1">
        <v>9133</v>
      </c>
      <c r="J5" s="1">
        <f>SUM(B5:I5)</f>
        <v>31382</v>
      </c>
    </row>
    <row r="7" spans="1:23" x14ac:dyDescent="0.25">
      <c r="A7" t="s">
        <v>11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t="s">
        <v>12</v>
      </c>
      <c r="B8" s="1">
        <v>3416126</v>
      </c>
      <c r="C8" s="1">
        <v>3606488</v>
      </c>
      <c r="D8" s="1">
        <v>3712791</v>
      </c>
      <c r="E8" s="1">
        <v>3366889</v>
      </c>
      <c r="F8" s="1">
        <v>2968561</v>
      </c>
      <c r="G8" s="1">
        <v>2717309</v>
      </c>
      <c r="H8" s="1">
        <v>2408086</v>
      </c>
      <c r="I8" s="1">
        <v>1976899</v>
      </c>
      <c r="J8" s="1">
        <f>SUM(B8:I8)</f>
        <v>24173149</v>
      </c>
      <c r="O8" s="1"/>
      <c r="P8" s="1"/>
      <c r="Q8" s="1"/>
      <c r="R8" s="1"/>
      <c r="S8" s="1"/>
      <c r="T8" s="1"/>
      <c r="U8" s="1"/>
      <c r="V8" s="1"/>
      <c r="W8" s="1"/>
    </row>
    <row r="10" spans="1:23" x14ac:dyDescent="0.25">
      <c r="A10" t="s">
        <v>10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22</v>
      </c>
    </row>
    <row r="11" spans="1:23" x14ac:dyDescent="0.25">
      <c r="B11" s="1">
        <v>16173530</v>
      </c>
      <c r="C11" s="1">
        <v>16535067</v>
      </c>
      <c r="D11" s="1">
        <v>16599453</v>
      </c>
      <c r="E11" s="1">
        <v>14865387</v>
      </c>
      <c r="F11" s="1">
        <v>13013766</v>
      </c>
      <c r="G11" s="1">
        <v>11921981</v>
      </c>
      <c r="H11" s="1">
        <v>10456033</v>
      </c>
      <c r="I11" s="1">
        <v>8389270</v>
      </c>
      <c r="J11" s="1">
        <f>SUM(B11:I11)</f>
        <v>107954487</v>
      </c>
    </row>
    <row r="13" spans="1:23" x14ac:dyDescent="0.25">
      <c r="A13" t="s">
        <v>26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</row>
    <row r="14" spans="1:23" x14ac:dyDescent="0.25">
      <c r="B14">
        <f>B5/B8</f>
        <v>1.7036842317877032E-4</v>
      </c>
      <c r="C14">
        <f>C5/C8</f>
        <v>2.8947829578248978E-4</v>
      </c>
      <c r="D14">
        <f t="shared" ref="D14:J14" si="0">D5/D8</f>
        <v>4.5949260273470821E-4</v>
      </c>
      <c r="E14">
        <f t="shared" si="0"/>
        <v>7.2678368666148478E-4</v>
      </c>
      <c r="F14">
        <f t="shared" si="0"/>
        <v>1.2049609221437593E-3</v>
      </c>
      <c r="G14">
        <f t="shared" si="0"/>
        <v>1.978795933771242E-3</v>
      </c>
      <c r="H14">
        <f t="shared" si="0"/>
        <v>3.1211509887935896E-3</v>
      </c>
      <c r="I14">
        <f t="shared" si="0"/>
        <v>4.6198617127126878E-3</v>
      </c>
      <c r="J14">
        <f t="shared" si="0"/>
        <v>1.2982172905979274E-3</v>
      </c>
    </row>
    <row r="18" spans="1:9" x14ac:dyDescent="0.25">
      <c r="C18" t="s">
        <v>28</v>
      </c>
    </row>
    <row r="19" spans="1:9" ht="105" x14ac:dyDescent="0.25">
      <c r="A19" t="s">
        <v>23</v>
      </c>
      <c r="B19" s="2" t="s">
        <v>24</v>
      </c>
      <c r="C19" s="2" t="s">
        <v>27</v>
      </c>
      <c r="D19" s="2" t="s">
        <v>25</v>
      </c>
      <c r="F19" s="2" t="s">
        <v>29</v>
      </c>
      <c r="G19" s="2" t="s">
        <v>30</v>
      </c>
    </row>
    <row r="20" spans="1:9" x14ac:dyDescent="0.25">
      <c r="A20" t="s">
        <v>14</v>
      </c>
      <c r="B20" s="1">
        <v>16173530</v>
      </c>
      <c r="C20">
        <v>1.7036842317877E-4</v>
      </c>
      <c r="D20">
        <f>B20*C20</f>
        <v>2755.4588033345321</v>
      </c>
      <c r="F20">
        <f>D28/B28*100000</f>
        <v>126.56965380441727</v>
      </c>
    </row>
    <row r="21" spans="1:9" x14ac:dyDescent="0.25">
      <c r="A21" t="s">
        <v>15</v>
      </c>
      <c r="B21" s="1">
        <v>16535067</v>
      </c>
      <c r="C21">
        <v>2.8947829578248978E-4</v>
      </c>
      <c r="D21">
        <f t="shared" ref="D21:D27" si="1">B21*C21</f>
        <v>4786.5430158092859</v>
      </c>
    </row>
    <row r="22" spans="1:9" x14ac:dyDescent="0.25">
      <c r="A22" t="s">
        <v>16</v>
      </c>
      <c r="B22" s="1">
        <v>16599453</v>
      </c>
      <c r="C22">
        <v>4.5949260273470821E-4</v>
      </c>
      <c r="D22">
        <f t="shared" si="1"/>
        <v>7627.3258629424608</v>
      </c>
    </row>
    <row r="23" spans="1:9" x14ac:dyDescent="0.25">
      <c r="A23" t="s">
        <v>17</v>
      </c>
      <c r="B23" s="1">
        <v>14865387</v>
      </c>
      <c r="C23">
        <v>7.2678368666148478E-4</v>
      </c>
      <c r="D23">
        <f t="shared" si="1"/>
        <v>10803.92076750971</v>
      </c>
    </row>
    <row r="24" spans="1:9" x14ac:dyDescent="0.25">
      <c r="A24" t="s">
        <v>18</v>
      </c>
      <c r="B24" s="1">
        <v>13013766</v>
      </c>
      <c r="C24">
        <v>1.2049609221437593E-3</v>
      </c>
      <c r="D24">
        <f t="shared" si="1"/>
        <v>15681.079479923103</v>
      </c>
    </row>
    <row r="25" spans="1:9" x14ac:dyDescent="0.25">
      <c r="A25" t="s">
        <v>19</v>
      </c>
      <c r="B25" s="1">
        <v>11921981</v>
      </c>
      <c r="C25">
        <v>1.978795933771242E-3</v>
      </c>
      <c r="D25">
        <f t="shared" si="1"/>
        <v>23591.167525298006</v>
      </c>
      <c r="E25" s="1"/>
      <c r="F25" s="1"/>
      <c r="G25" s="1"/>
      <c r="H25" s="1"/>
      <c r="I25" s="1"/>
    </row>
    <row r="26" spans="1:9" x14ac:dyDescent="0.25">
      <c r="A26" t="s">
        <v>20</v>
      </c>
      <c r="B26" s="1">
        <v>10456033</v>
      </c>
      <c r="C26">
        <v>3.1211509887935896E-3</v>
      </c>
      <c r="D26">
        <f t="shared" si="1"/>
        <v>32634.857736808404</v>
      </c>
      <c r="E26" s="1"/>
      <c r="F26" s="1"/>
      <c r="G26" s="1"/>
      <c r="H26" s="1"/>
      <c r="I26" s="1"/>
    </row>
    <row r="27" spans="1:9" x14ac:dyDescent="0.25">
      <c r="A27" t="s">
        <v>21</v>
      </c>
      <c r="B27" s="1">
        <v>8389270</v>
      </c>
      <c r="C27">
        <v>4.6198617127126878E-3</v>
      </c>
      <c r="D27">
        <f t="shared" si="1"/>
        <v>38757.267270609169</v>
      </c>
    </row>
    <row r="28" spans="1:9" x14ac:dyDescent="0.25">
      <c r="A28" t="s">
        <v>8</v>
      </c>
      <c r="B28" s="1">
        <f>SUM(B20:B27)</f>
        <v>107954487</v>
      </c>
      <c r="C28">
        <v>1.29821729059793E-3</v>
      </c>
      <c r="D28" s="1">
        <f>SUM(D20:D27)</f>
        <v>136637.62046223466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 do Val</dc:creator>
  <cp:lastModifiedBy>Guilherme Ferreira do Val</cp:lastModifiedBy>
  <dcterms:created xsi:type="dcterms:W3CDTF">2025-11-05T11:27:23Z</dcterms:created>
  <dcterms:modified xsi:type="dcterms:W3CDTF">2025-11-06T15:55:35Z</dcterms:modified>
</cp:coreProperties>
</file>